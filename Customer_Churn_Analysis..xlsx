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 activeTab="2"/>
  </bookViews>
  <sheets>
    <sheet name="Data" sheetId="1" r:id="rId1"/>
    <sheet name="Analysis" sheetId="2" r:id="rId2"/>
    <sheet name="Dashboard" sheetId="3" r:id="rId3"/>
  </sheets>
  <definedNames>
    <definedName name="_xlnm._FilterDatabase" localSheetId="0" hidden="1">Data!$A$1:$M$11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<sst xmlns="http://schemas.openxmlformats.org/spreadsheetml/2006/main" count="100" uniqueCount="55">
  <si>
    <t>Customer ID</t>
  </si>
  <si>
    <t>Gender</t>
  </si>
  <si>
    <t>Age</t>
  </si>
  <si>
    <t>Tenure</t>
  </si>
  <si>
    <t>Monthly Charges</t>
  </si>
  <si>
    <t>Total Charges</t>
  </si>
  <si>
    <t>Contract Type</t>
  </si>
  <si>
    <t>Payment Method</t>
  </si>
  <si>
    <t>Internet Service</t>
  </si>
  <si>
    <t>Support Calls</t>
  </si>
  <si>
    <t>Satisfaction Score</t>
  </si>
  <si>
    <t>Churn</t>
  </si>
  <si>
    <t>CUST001</t>
  </si>
  <si>
    <t>Male</t>
  </si>
  <si>
    <t>Monthly</t>
  </si>
  <si>
    <t>Credit Card</t>
  </si>
  <si>
    <t>Fiber Optic</t>
  </si>
  <si>
    <t>No</t>
  </si>
  <si>
    <t>CUST002</t>
  </si>
  <si>
    <t>Female</t>
  </si>
  <si>
    <t>Bank Transfer</t>
  </si>
  <si>
    <t>DSL</t>
  </si>
  <si>
    <t>Yes</t>
  </si>
  <si>
    <t>CUST003</t>
  </si>
  <si>
    <t>Yearly</t>
  </si>
  <si>
    <t>Debit Card</t>
  </si>
  <si>
    <t>CUST004</t>
  </si>
  <si>
    <t>CUST005</t>
  </si>
  <si>
    <t>UPI</t>
  </si>
  <si>
    <t>CUST006</t>
  </si>
  <si>
    <t>CUST007</t>
  </si>
  <si>
    <t>Two-Year</t>
  </si>
  <si>
    <t>CUST008</t>
  </si>
  <si>
    <t>CUST009</t>
  </si>
  <si>
    <t>CUST010</t>
  </si>
  <si>
    <t>Total Customers</t>
  </si>
  <si>
    <t>Total Churned</t>
  </si>
  <si>
    <t>Total Retained</t>
  </si>
  <si>
    <t>Churn Rate %</t>
  </si>
  <si>
    <t>Avg Support Calls (Churned)</t>
  </si>
  <si>
    <t>Avg Satisfaction (Churned)</t>
  </si>
  <si>
    <t>Monthly Contract Churn</t>
  </si>
  <si>
    <t>Yearly Contract Churn</t>
  </si>
  <si>
    <t>Fiber Optic Churn</t>
  </si>
  <si>
    <t>DSL Churn</t>
  </si>
  <si>
    <t>Customer Churn Analysis Dashboard</t>
  </si>
  <si>
    <t>Churn Rate%</t>
  </si>
  <si>
    <t>Return Rate</t>
  </si>
  <si>
    <t>Status</t>
  </si>
  <si>
    <t>Count</t>
  </si>
  <si>
    <t>Contract</t>
  </si>
  <si>
    <t>Churned</t>
  </si>
  <si>
    <t>Internet</t>
  </si>
  <si>
    <t>Fibre Optic</t>
  </si>
  <si>
    <t>Retained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</si>
</sst>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b/>
      <sz val="16"/>
      <color theme="9" tint="-0.25"/>
      <name val="Calibri"/>
      <charset val="134"/>
      <scheme val="minor"/>
    </font>
    <font>
      <sz val="11"/>
      <color theme="9" tint="-0.25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4" tint="-0.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4" fillId="0" borderId="1" xfId="0" applyFont="1" applyBorder="1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180" fontId="0" fillId="0" borderId="0" xfId="0" applyNumberFormat="1">
      <alignment vertical="center"/>
    </xf>
    <xf numFmtId="0" fontId="5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</a:t>
            </a:r>
            <a:r>
              <a:rPr lang="en-IN" altLang="en-US"/>
              <a:t>hurned vs Retained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Dashboard!$G$2</c:f>
              <c:strCache>
                <c:ptCount val="1"/>
                <c:pt idx="0">
                  <c:v>Count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Dashboard!$F$3:$F$4</c:f>
              <c:strCache>
                <c:ptCount val="2"/>
                <c:pt idx="0">
                  <c:v>Churned</c:v>
                </c:pt>
                <c:pt idx="1">
                  <c:v>Retained</c:v>
                </c:pt>
              </c:strCache>
            </c:strRef>
          </c:cat>
          <c:val>
            <c:numRef>
              <c:f>Dashboard!$G$3:$G$4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4589567327133"/>
          <c:y val="0.1987201077803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Churn</a:t>
            </a:r>
            <a:r>
              <a:rPr lang="en-IN" altLang="en-US"/>
              <a:t> by Contract Type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Dashboard!$J$3:$J$5</c:f>
              <c:strCache>
                <c:ptCount val="3"/>
                <c:pt idx="0">
                  <c:v>Monthly</c:v>
                </c:pt>
                <c:pt idx="1">
                  <c:v>Yearly</c:v>
                </c:pt>
                <c:pt idx="2">
                  <c:v>Two-Year</c:v>
                </c:pt>
              </c:strCache>
            </c:strRef>
          </c:cat>
          <c:val>
            <c:numRef>
              <c:f>Dashboard!$K$3:$K$5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06508600"/>
        <c:axId val="69510515"/>
      </c:barChart>
      <c:catAx>
        <c:axId val="606508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510515"/>
        <c:crosses val="autoZero"/>
        <c:auto val="1"/>
        <c:lblAlgn val="ctr"/>
        <c:lblOffset val="100"/>
        <c:noMultiLvlLbl val="0"/>
      </c:catAx>
      <c:valAx>
        <c:axId val="695105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650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IN" altLang="zh-CN"/>
              <a:t>Churn by Internet Service</a:t>
            </a:r>
            <a:endParaRPr lang="en-IN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Dashboard!$Q$2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Dashboard!$P$3:$P$4</c:f>
              <c:strCache>
                <c:ptCount val="2"/>
                <c:pt idx="0">
                  <c:v>Fibre Optic</c:v>
                </c:pt>
                <c:pt idx="1">
                  <c:v>DSL</c:v>
                </c:pt>
              </c:strCache>
            </c:strRef>
          </c:cat>
          <c:val>
            <c:numRef>
              <c:f>Dashboard!$Q$3:$Q$4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591230914"/>
        <c:axId val="461205264"/>
      </c:barChart>
      <c:catAx>
        <c:axId val="59123091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61205264"/>
        <c:crosses val="autoZero"/>
        <c:auto val="1"/>
        <c:lblAlgn val="ctr"/>
        <c:lblOffset val="100"/>
        <c:noMultiLvlLbl val="0"/>
      </c:catAx>
      <c:valAx>
        <c:axId val="461205264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912309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50165</xdr:colOff>
      <xdr:row>5</xdr:row>
      <xdr:rowOff>15875</xdr:rowOff>
    </xdr:from>
    <xdr:to>
      <xdr:col>8</xdr:col>
      <xdr:colOff>9525</xdr:colOff>
      <xdr:row>14</xdr:row>
      <xdr:rowOff>186690</xdr:rowOff>
    </xdr:to>
    <xdr:graphicFrame>
      <xdr:nvGraphicFramePr>
        <xdr:cNvPr id="2" name="Chart 1"/>
        <xdr:cNvGraphicFramePr/>
      </xdr:nvGraphicFramePr>
      <xdr:xfrm>
        <a:off x="3050540" y="1044575"/>
        <a:ext cx="3397885" cy="1885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297815</xdr:colOff>
      <xdr:row>5</xdr:row>
      <xdr:rowOff>148590</xdr:rowOff>
    </xdr:from>
    <xdr:to>
      <xdr:col>13</xdr:col>
      <xdr:colOff>514350</xdr:colOff>
      <xdr:row>18</xdr:row>
      <xdr:rowOff>25400</xdr:rowOff>
    </xdr:to>
    <xdr:graphicFrame>
      <xdr:nvGraphicFramePr>
        <xdr:cNvPr id="3" name="Chart 2"/>
        <xdr:cNvGraphicFramePr/>
      </xdr:nvGraphicFramePr>
      <xdr:xfrm>
        <a:off x="6736715" y="1177290"/>
        <a:ext cx="3264535" cy="2353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348615</xdr:colOff>
      <xdr:row>5</xdr:row>
      <xdr:rowOff>151765</xdr:rowOff>
    </xdr:from>
    <xdr:to>
      <xdr:col>18</xdr:col>
      <xdr:colOff>69850</xdr:colOff>
      <xdr:row>19</xdr:row>
      <xdr:rowOff>104775</xdr:rowOff>
    </xdr:to>
    <xdr:graphicFrame>
      <xdr:nvGraphicFramePr>
        <xdr:cNvPr id="4" name="Chart 3" descr="7b0a202020202263686172745265734964223a202234363130333534220a7d0a"/>
        <xdr:cNvGraphicFramePr/>
      </xdr:nvGraphicFramePr>
      <xdr:xfrm>
        <a:off x="10445115" y="1180465"/>
        <a:ext cx="2367915" cy="2620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N8" sqref="N8"/>
    </sheetView>
  </sheetViews>
  <sheetFormatPr defaultColWidth="9.14285714285714" defaultRowHeight="15"/>
  <cols>
    <col min="1" max="1" width="12" customWidth="1"/>
    <col min="11" max="11" width="13.2857142857143" customWidth="1"/>
    <col min="12" max="12" width="13" customWidth="1"/>
  </cols>
  <sheetData>
    <row r="1" ht="30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</row>
    <row r="2" ht="30" spans="1:12">
      <c r="A2" s="15" t="s">
        <v>12</v>
      </c>
      <c r="B2" s="15" t="s">
        <v>13</v>
      </c>
      <c r="C2" s="15">
        <v>34</v>
      </c>
      <c r="D2" s="15">
        <v>24</v>
      </c>
      <c r="E2" s="15">
        <v>79.99</v>
      </c>
      <c r="F2" s="15">
        <v>1919.76</v>
      </c>
      <c r="G2" s="15" t="s">
        <v>14</v>
      </c>
      <c r="H2" s="15" t="s">
        <v>15</v>
      </c>
      <c r="I2" s="15" t="s">
        <v>16</v>
      </c>
      <c r="J2" s="15">
        <v>3</v>
      </c>
      <c r="K2" s="15">
        <v>8</v>
      </c>
      <c r="L2" s="15" t="s">
        <v>17</v>
      </c>
    </row>
    <row r="3" ht="30" spans="1:12">
      <c r="A3" s="15" t="s">
        <v>18</v>
      </c>
      <c r="B3" s="15" t="s">
        <v>19</v>
      </c>
      <c r="C3" s="15">
        <v>45</v>
      </c>
      <c r="D3" s="15">
        <v>12</v>
      </c>
      <c r="E3" s="15">
        <v>95.5</v>
      </c>
      <c r="F3" s="15">
        <v>1146</v>
      </c>
      <c r="G3" s="15" t="s">
        <v>14</v>
      </c>
      <c r="H3" s="15" t="s">
        <v>20</v>
      </c>
      <c r="I3" s="15" t="s">
        <v>21</v>
      </c>
      <c r="J3" s="15">
        <v>5</v>
      </c>
      <c r="K3" s="15">
        <v>5</v>
      </c>
      <c r="L3" s="15" t="s">
        <v>22</v>
      </c>
    </row>
    <row r="4" ht="30" spans="1:12">
      <c r="A4" s="15" t="s">
        <v>23</v>
      </c>
      <c r="B4" s="15" t="s">
        <v>13</v>
      </c>
      <c r="C4" s="15">
        <v>29</v>
      </c>
      <c r="D4" s="15">
        <v>36</v>
      </c>
      <c r="E4" s="15">
        <v>65.25</v>
      </c>
      <c r="F4" s="15">
        <v>2349</v>
      </c>
      <c r="G4" s="15" t="s">
        <v>24</v>
      </c>
      <c r="H4" s="15" t="s">
        <v>25</v>
      </c>
      <c r="I4" s="15" t="s">
        <v>16</v>
      </c>
      <c r="J4" s="15">
        <v>1</v>
      </c>
      <c r="K4" s="15">
        <v>9</v>
      </c>
      <c r="L4" s="15" t="s">
        <v>17</v>
      </c>
    </row>
    <row r="5" ht="30" spans="1:12">
      <c r="A5" s="15" t="s">
        <v>26</v>
      </c>
      <c r="B5" s="15" t="s">
        <v>19</v>
      </c>
      <c r="C5" s="15">
        <v>52</v>
      </c>
      <c r="D5" s="15">
        <v>8</v>
      </c>
      <c r="E5" s="15">
        <v>110</v>
      </c>
      <c r="F5" s="15">
        <v>880</v>
      </c>
      <c r="G5" s="15" t="s">
        <v>14</v>
      </c>
      <c r="H5" s="15" t="s">
        <v>15</v>
      </c>
      <c r="I5" s="15" t="s">
        <v>16</v>
      </c>
      <c r="J5" s="15">
        <v>6</v>
      </c>
      <c r="K5" s="15">
        <v>4</v>
      </c>
      <c r="L5" s="15" t="s">
        <v>22</v>
      </c>
    </row>
    <row r="6" spans="1:12">
      <c r="A6" s="15" t="s">
        <v>27</v>
      </c>
      <c r="B6" s="15" t="s">
        <v>13</v>
      </c>
      <c r="C6" s="15">
        <v>41</v>
      </c>
      <c r="D6" s="15">
        <v>48</v>
      </c>
      <c r="E6" s="15">
        <v>70</v>
      </c>
      <c r="F6" s="15">
        <v>3360</v>
      </c>
      <c r="G6" s="15" t="s">
        <v>24</v>
      </c>
      <c r="H6" s="15" t="s">
        <v>28</v>
      </c>
      <c r="I6" s="15" t="s">
        <v>21</v>
      </c>
      <c r="J6" s="15">
        <v>2</v>
      </c>
      <c r="K6" s="15">
        <v>8</v>
      </c>
      <c r="L6" s="15" t="s">
        <v>17</v>
      </c>
    </row>
    <row r="7" ht="30" spans="1:12">
      <c r="A7" s="15" t="s">
        <v>29</v>
      </c>
      <c r="B7" s="15" t="s">
        <v>19</v>
      </c>
      <c r="C7" s="15">
        <v>31</v>
      </c>
      <c r="D7" s="15">
        <v>6</v>
      </c>
      <c r="E7" s="15">
        <v>89.99</v>
      </c>
      <c r="F7" s="15">
        <v>539.94</v>
      </c>
      <c r="G7" s="15" t="s">
        <v>14</v>
      </c>
      <c r="H7" s="15" t="s">
        <v>20</v>
      </c>
      <c r="I7" s="15" t="s">
        <v>16</v>
      </c>
      <c r="J7" s="15">
        <v>4</v>
      </c>
      <c r="K7" s="15">
        <v>6</v>
      </c>
      <c r="L7" s="15" t="s">
        <v>22</v>
      </c>
    </row>
    <row r="8" ht="30" spans="1:12">
      <c r="A8" s="15" t="s">
        <v>30</v>
      </c>
      <c r="B8" s="15" t="s">
        <v>13</v>
      </c>
      <c r="C8" s="15">
        <v>60</v>
      </c>
      <c r="D8" s="15">
        <v>72</v>
      </c>
      <c r="E8" s="15">
        <v>55</v>
      </c>
      <c r="F8" s="15">
        <v>3960</v>
      </c>
      <c r="G8" s="15" t="s">
        <v>31</v>
      </c>
      <c r="H8" s="15" t="s">
        <v>15</v>
      </c>
      <c r="I8" s="15" t="s">
        <v>21</v>
      </c>
      <c r="J8" s="15">
        <v>0</v>
      </c>
      <c r="K8" s="15">
        <v>10</v>
      </c>
      <c r="L8" s="15" t="s">
        <v>17</v>
      </c>
    </row>
    <row r="9" ht="30" spans="1:12">
      <c r="A9" s="15" t="s">
        <v>32</v>
      </c>
      <c r="B9" s="15" t="s">
        <v>19</v>
      </c>
      <c r="C9" s="15">
        <v>27</v>
      </c>
      <c r="D9" s="15">
        <v>10</v>
      </c>
      <c r="E9" s="15">
        <v>99.99</v>
      </c>
      <c r="F9" s="15">
        <v>999.9</v>
      </c>
      <c r="G9" s="15" t="s">
        <v>14</v>
      </c>
      <c r="H9" s="15" t="s">
        <v>28</v>
      </c>
      <c r="I9" s="15" t="s">
        <v>16</v>
      </c>
      <c r="J9" s="15">
        <v>7</v>
      </c>
      <c r="K9" s="15">
        <v>3</v>
      </c>
      <c r="L9" s="15" t="s">
        <v>22</v>
      </c>
    </row>
    <row r="10" ht="30" spans="1:12">
      <c r="A10" s="15" t="s">
        <v>33</v>
      </c>
      <c r="B10" s="15" t="s">
        <v>13</v>
      </c>
      <c r="C10" s="15">
        <v>38</v>
      </c>
      <c r="D10" s="15">
        <v>30</v>
      </c>
      <c r="E10" s="15">
        <v>75.5</v>
      </c>
      <c r="F10" s="15">
        <v>2265</v>
      </c>
      <c r="G10" s="15" t="s">
        <v>24</v>
      </c>
      <c r="H10" s="15" t="s">
        <v>25</v>
      </c>
      <c r="I10" s="15" t="s">
        <v>21</v>
      </c>
      <c r="J10" s="15">
        <v>2</v>
      </c>
      <c r="K10" s="15">
        <v>7</v>
      </c>
      <c r="L10" s="15" t="s">
        <v>17</v>
      </c>
    </row>
    <row r="11" ht="30" spans="1:12">
      <c r="A11" s="15" t="s">
        <v>34</v>
      </c>
      <c r="B11" s="15" t="s">
        <v>19</v>
      </c>
      <c r="C11" s="15">
        <v>49</v>
      </c>
      <c r="D11" s="15">
        <v>18</v>
      </c>
      <c r="E11" s="15">
        <v>105.75</v>
      </c>
      <c r="F11" s="15">
        <v>1903.5</v>
      </c>
      <c r="G11" s="15" t="s">
        <v>14</v>
      </c>
      <c r="H11" s="15" t="s">
        <v>15</v>
      </c>
      <c r="I11" s="15" t="s">
        <v>16</v>
      </c>
      <c r="J11" s="15">
        <v>5</v>
      </c>
      <c r="K11" s="15">
        <v>5</v>
      </c>
      <c r="L11" s="15" t="s">
        <v>22</v>
      </c>
    </row>
  </sheetData>
  <autoFilter xmlns:etc="http://www.wps.cn/officeDocument/2017/etCustomData" ref="A1:M11" etc:filterBottomFollowUsedRange="0">
    <extLst/>
  </autoFilter>
  <conditionalFormatting sqref="A1:L11">
    <cfRule type="expression" priority="4">
      <formula>$L2="Yes"</formula>
    </cfRule>
    <cfRule type="expression" dxfId="0" priority="3">
      <formula>$L2="Yes"</formula>
    </cfRule>
    <cfRule type="expression" dxfId="1" priority="2">
      <formula>$L1048573="No"</formula>
    </cfRule>
    <cfRule type="expression" dxfId="1" priority="1">
      <formula>$L1="No"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1" sqref="B11"/>
    </sheetView>
  </sheetViews>
  <sheetFormatPr defaultColWidth="9.14285714285714" defaultRowHeight="15" outlineLevelCol="1"/>
  <cols>
    <col min="1" max="1" width="26" customWidth="1"/>
    <col min="2" max="2" width="12.8571428571429"/>
  </cols>
  <sheetData>
    <row r="1" spans="1:2">
      <c r="A1" t="s">
        <v>35</v>
      </c>
      <c r="B1">
        <f>COUNTA(Data!B2:B11)</f>
        <v>10</v>
      </c>
    </row>
    <row r="2" spans="1:2">
      <c r="A2" t="s">
        <v>36</v>
      </c>
      <c r="B2">
        <f>COUNTIF(Data!L3:L12,"Yes")</f>
        <v>5</v>
      </c>
    </row>
    <row r="3" spans="1:2">
      <c r="A3" t="s">
        <v>37</v>
      </c>
      <c r="B3">
        <f>COUNTIF(Data!L4:L13,"No")</f>
        <v>4</v>
      </c>
    </row>
    <row r="4" spans="1:2">
      <c r="A4" t="s">
        <v>38</v>
      </c>
      <c r="B4">
        <f>B2/B1*100</f>
        <v>50</v>
      </c>
    </row>
    <row r="5" spans="1:2">
      <c r="A5" t="s">
        <v>39</v>
      </c>
      <c r="B5">
        <f>AVERAGEIF(Data!L6:L15,"Yes",Data!J2:J11)</f>
        <v>5</v>
      </c>
    </row>
    <row r="6" spans="1:2">
      <c r="A6" t="s">
        <v>40</v>
      </c>
      <c r="B6">
        <f>AVERAGEIF(Data!L2:L11,"Yes",Data!K2:K11)</f>
        <v>4.6</v>
      </c>
    </row>
    <row r="7" spans="1:2">
      <c r="A7" t="s">
        <v>41</v>
      </c>
      <c r="B7">
        <f>COUNTIFS(Data!G2:G11,"Monthly",Data!L2:L11,"Yes")</f>
        <v>5</v>
      </c>
    </row>
    <row r="8" spans="1:2">
      <c r="A8" t="s">
        <v>42</v>
      </c>
      <c r="B8">
        <f>COUNTIFS(Data!G2:G11,"Yearly",Data!L2:L11,"Yes")</f>
        <v>0</v>
      </c>
    </row>
    <row r="9" spans="1:2">
      <c r="A9" t="s">
        <v>43</v>
      </c>
      <c r="B9">
        <f>COUNTIFS(Data!I2:I11,"Fiber Optic",Data!L2:L11,"Yes")</f>
        <v>4</v>
      </c>
    </row>
    <row r="10" spans="1:2">
      <c r="A10" t="s">
        <v>44</v>
      </c>
      <c r="B10">
        <f>COUNTIFS(Data!I2:I11,"DSL",Data!L2:L11,"Yes")</f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abSelected="1" zoomScale="78" zoomScaleNormal="78" workbookViewId="0">
      <selection activeCell="H23" sqref="H23"/>
    </sheetView>
  </sheetViews>
  <sheetFormatPr defaultColWidth="9.14285714285714" defaultRowHeight="15"/>
  <cols>
    <col min="1" max="1" width="16" customWidth="1"/>
    <col min="2" max="2" width="15.5714285714286" customWidth="1"/>
    <col min="3" max="3" width="13.4285714285714" customWidth="1"/>
    <col min="4" max="4" width="11.1428571428571" customWidth="1"/>
    <col min="8" max="8" width="13" customWidth="1"/>
    <col min="15" max="15" width="10.4285714285714" customWidth="1"/>
    <col min="16" max="16" width="10.9809523809524" customWidth="1"/>
  </cols>
  <sheetData>
    <row r="1" ht="21" spans="1:17">
      <c r="A1" s="1" t="s">
        <v>45</v>
      </c>
      <c r="B1" s="2"/>
      <c r="C1" s="2"/>
      <c r="D1" s="2"/>
    </row>
    <row r="2" spans="1:17">
      <c r="A2" s="3" t="s">
        <v>35</v>
      </c>
      <c r="B2" s="4" t="s">
        <v>36</v>
      </c>
      <c r="C2" s="5" t="s">
        <v>46</v>
      </c>
      <c r="D2" s="6" t="s">
        <v>47</v>
      </c>
      <c r="F2" s="7" t="s">
        <v>48</v>
      </c>
      <c r="G2" s="7" t="s">
        <v>49</v>
      </c>
      <c r="J2" s="7" t="s">
        <v>50</v>
      </c>
      <c r="K2" s="7" t="s">
        <v>51</v>
      </c>
      <c r="P2" s="7" t="s">
        <v>52</v>
      </c>
      <c r="Q2" s="7" t="s">
        <v>51</v>
      </c>
    </row>
    <row r="3" spans="1:17">
      <c r="A3" s="8">
        <f>Analysis!B3</f>
        <v>4</v>
      </c>
      <c r="B3" s="9">
        <f>Analysis!B2</f>
        <v>5</v>
      </c>
      <c r="C3" s="10" t="str">
        <f>Analysis!B4&amp;"%"</f>
        <v>50%</v>
      </c>
      <c r="D3" s="11">
        <f>Analysis!B3</f>
        <v>4</v>
      </c>
      <c r="F3" s="12" t="s">
        <v>51</v>
      </c>
      <c r="G3" s="12">
        <f>Analysis!B2</f>
        <v>5</v>
      </c>
      <c r="J3" s="12" t="s">
        <v>14</v>
      </c>
      <c r="K3" s="12">
        <f>Analysis!B7</f>
        <v>5</v>
      </c>
      <c r="P3" s="12" t="s">
        <v>53</v>
      </c>
      <c r="Q3" s="12">
        <f>Analysis!B9</f>
        <v>4</v>
      </c>
    </row>
    <row r="4" spans="1:17">
      <c r="F4" s="12" t="s">
        <v>54</v>
      </c>
      <c r="G4" s="12">
        <f>Analysis!B3</f>
        <v>4</v>
      </c>
      <c r="J4" s="12" t="s">
        <v>24</v>
      </c>
      <c r="K4" s="12">
        <f>Analysis!B8</f>
        <v>0</v>
      </c>
      <c r="P4" s="12" t="s">
        <v>21</v>
      </c>
      <c r="Q4" s="12">
        <f>Analysis!B10</f>
        <v>1</v>
      </c>
    </row>
    <row r="5" spans="1:17">
      <c r="J5" s="12" t="s">
        <v>31</v>
      </c>
      <c r="K5" s="12">
        <f>0</f>
        <v>0</v>
      </c>
    </row>
    <row r="23" spans="8:8">
      <c r="H23" s="13">
        <f ca="1">TODAY()</f>
        <v>46144</v>
      </c>
    </row>
  </sheetData>
  <mergeCells count="1">
    <mergeCell ref="A1:D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</dc:creator>
  <cp:lastModifiedBy>cse</cp:lastModifiedBy>
  <dcterms:created xsi:type="dcterms:W3CDTF">2026-05-02T00:13:00Z</dcterms:created>
  <dcterms:modified xsi:type="dcterms:W3CDTF">2026-05-02T04:53:42Z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010BE1704E5C4B7BB69006DBE0CB99BD_11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